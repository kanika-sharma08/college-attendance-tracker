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uv.DESKTOP-1M0CR0H\OneDrive\Documents\"/>
    </mc:Choice>
  </mc:AlternateContent>
  <bookViews>
    <workbookView xWindow="0" yWindow="0" windowWidth="20490" windowHeight="7755"/>
  </bookViews>
  <sheets>
    <sheet name="Attendance data" sheetId="1" r:id="rId1"/>
    <sheet name="Dashboar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14" i="2"/>
  <c r="C15" i="2"/>
  <c r="C8" i="2"/>
  <c r="G4" i="2"/>
  <c r="E4" i="2"/>
  <c r="C4" i="2"/>
  <c r="A4" i="2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<sst xmlns="http://schemas.openxmlformats.org/spreadsheetml/2006/main" count="33" uniqueCount="23">
  <si>
    <t>Subject</t>
  </si>
  <si>
    <t>Attendance%</t>
  </si>
  <si>
    <t>Status</t>
  </si>
  <si>
    <t>Maths</t>
  </si>
  <si>
    <t>Physics</t>
  </si>
  <si>
    <t>Aec</t>
  </si>
  <si>
    <t>Computer</t>
  </si>
  <si>
    <t>VAC</t>
  </si>
  <si>
    <t>SEC</t>
  </si>
  <si>
    <t>MDC</t>
  </si>
  <si>
    <t>HCP</t>
  </si>
  <si>
    <t>Classes missed</t>
  </si>
  <si>
    <t>Classes attendance</t>
  </si>
  <si>
    <t>Total Classes</t>
  </si>
  <si>
    <t>Classes/week</t>
  </si>
  <si>
    <t>Weeks</t>
  </si>
  <si>
    <t>COLLEGE ATTENDANCE DASHBOARD</t>
  </si>
  <si>
    <t>Overall Attendance</t>
  </si>
  <si>
    <t>Classes Attandance</t>
  </si>
  <si>
    <t>Subject belpw 75%</t>
  </si>
  <si>
    <t>Project Note</t>
  </si>
  <si>
    <t>This dashboard demonstrates Excel-based attendance tracking, automated calculations, conditional status identification, and data visualization.</t>
  </si>
  <si>
    <t>Total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</si>
</sst>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1" fillId="3" borderId="4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</cellStyleXfs>
  <cellXfs count="13">
    <xf numFmtId="0" fontId="0" fillId="0" borderId="0" xfId="0"/>
    <xf numFmtId="0" fontId="7" fillId="0" borderId="0" xfId="0" applyFont="1"/>
    <xf numFmtId="0" fontId="6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0" fontId="3" fillId="0" borderId="2" xfId="3"/>
    <xf numFmtId="0" fontId="4" fillId="2" borderId="3" xfId="4"/>
    <xf numFmtId="0" fontId="4" fillId="2" borderId="3" xfId="4" applyAlignment="1">
      <alignment horizontal="center"/>
    </xf>
    <xf numFmtId="9" fontId="4" fillId="2" borderId="3" xfId="4" applyNumberFormat="1" applyAlignment="1">
      <alignment horizontal="center"/>
    </xf>
    <xf numFmtId="0" fontId="6" fillId="3" borderId="4" xfId="5" applyFont="1"/>
    <xf numFmtId="0" fontId="2" fillId="0" borderId="1" xfId="2"/>
    <xf numFmtId="9" fontId="2" fillId="0" borderId="1" xfId="2" applyNumberFormat="1" applyAlignment="1">
      <alignment horizontal="center"/>
    </xf>
    <xf numFmtId="0" fontId="6" fillId="0" borderId="5" xfId="7"/>
    <xf numFmtId="0" fontId="8" fillId="0" borderId="0" xfId="6" applyFont="1"/>
  </cellXfs>
  <cellStyles count="8">
    <cellStyle name="Explanatory Text" xfId="6" builtinId="53"/>
    <cellStyle name="Heading 2" xfId="2" builtinId="17"/>
    <cellStyle name="Heading 3" xfId="3" builtinId="18"/>
    <cellStyle name="Normal" xfId="0" builtinId="0"/>
    <cellStyle name="Note" xfId="5" builtinId="10"/>
    <cellStyle name="Output" xfId="4" builtinId="21"/>
    <cellStyle name="Percent" xfId="1" builtinId="5"/>
    <cellStyle name="Total" xfId="7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Subject-wise Attendance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55336832895887"/>
          <c:y val="0.16245370370370371"/>
          <c:w val="0.81007174103237101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Dashboard!$A$8:$A$15</c:f>
              <c:strCache>
                <c:ptCount val="8"/>
                <c:pt idx="0">
                  <c:v>Maths</c:v>
                </c:pt>
                <c:pt idx="1">
                  <c:v>Physics</c:v>
                </c:pt>
                <c:pt idx="2">
                  <c:v>Aec</c:v>
                </c:pt>
                <c:pt idx="3">
                  <c:v>Computer</c:v>
                </c:pt>
                <c:pt idx="4">
                  <c:v>SEC</c:v>
                </c:pt>
                <c:pt idx="5">
                  <c:v>VAC</c:v>
                </c:pt>
                <c:pt idx="6">
                  <c:v>MDC</c:v>
                </c:pt>
                <c:pt idx="7">
                  <c:v>HCP</c:v>
                </c:pt>
              </c:strCache>
            </c:strRef>
          </c:cat>
          <c:val>
            <c:numRef>
              <c:f>Dashboard!$B$8:$B$15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Attendance%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Dashboard!$A$8:$A$15</c:f>
              <c:strCache>
                <c:ptCount val="8"/>
                <c:pt idx="0">
                  <c:v>Maths</c:v>
                </c:pt>
                <c:pt idx="1">
                  <c:v>Physics</c:v>
                </c:pt>
                <c:pt idx="2">
                  <c:v>Aec</c:v>
                </c:pt>
                <c:pt idx="3">
                  <c:v>Computer</c:v>
                </c:pt>
                <c:pt idx="4">
                  <c:v>SEC</c:v>
                </c:pt>
                <c:pt idx="5">
                  <c:v>VAC</c:v>
                </c:pt>
                <c:pt idx="6">
                  <c:v>MDC</c:v>
                </c:pt>
                <c:pt idx="7">
                  <c:v>HCP</c:v>
                </c:pt>
              </c:strCache>
            </c:strRef>
          </c:cat>
          <c:val>
            <c:numRef>
              <c:f>Dashboard!$C$8:$C$15</c:f>
              <c:numCache>
                <c:formatCode>0%</c:formatCode>
                <c:ptCount val="8"/>
                <c:pt idx="0">
                  <c:v>0.79166666666666663</c:v>
                </c:pt>
                <c:pt idx="1">
                  <c:v>0.25</c:v>
                </c:pt>
                <c:pt idx="2">
                  <c:v>0.6875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</c:v>
                </c:pt>
                <c:pt idx="6">
                  <c:v>0.16666666666666666</c:v>
                </c:pt>
                <c:pt idx="7">
                  <c:v>0.375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538178608"/>
        <c:axId val="-1538171536"/>
      </c:barChart>
      <c:catAx>
        <c:axId val="-153817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8171536"/>
        <c:crosses val="autoZero"/>
        <c:auto val="1"/>
        <c:lblAlgn val="ctr"/>
        <c:lblOffset val="100"/>
        <c:noMultiLvlLbl val="0"/>
      </c:catAx>
      <c:valAx>
        <c:axId val="-153817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81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1219199</xdr:colOff>
      <xdr:row>3</xdr:row>
      <xdr:rowOff>185736</xdr:rowOff>
    </xdr:from>
    <xdr:to>
      <xdr:col>8</xdr:col>
      <xdr:colOff>38100</xdr:colOff>
      <xdr:row>14</xdr:row>
      <xdr:rowOff>238124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J4" sqref="J4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13.28515625" customWidth="1"/>
    <col min="4" max="4" width="12.28515625" bestFit="1" customWidth="1"/>
    <col min="5" max="5" width="18.140625" bestFit="1" customWidth="1"/>
    <col min="6" max="6" width="14.28515625" bestFit="1" customWidth="1"/>
    <col min="7" max="7" width="12.85546875" bestFit="1" customWidth="1"/>
  </cols>
  <sheetData>
    <row r="1" spans="1:8" x14ac:dyDescent="0.25">
      <c r="A1" s="8" t="s">
        <v>0</v>
      </c>
      <c r="B1" s="8" t="s">
        <v>14</v>
      </c>
      <c r="C1" s="8" t="s">
        <v>15</v>
      </c>
      <c r="D1" s="8" t="s">
        <v>13</v>
      </c>
      <c r="E1" s="8" t="s">
        <v>12</v>
      </c>
      <c r="F1" s="8" t="s">
        <v>11</v>
      </c>
      <c r="G1" s="8" t="s">
        <v>1</v>
      </c>
      <c r="H1" s="8" t="s">
        <v>2</v>
      </c>
    </row>
    <row r="2" spans="1:8" ht="15.75" thickBot="1" x14ac:dyDescent="0.3">
      <c r="A2" s="4" t="s">
        <v>3</v>
      </c>
      <c r="B2" s="2">
        <v>6</v>
      </c>
      <c r="C2" s="2">
        <v>4</v>
      </c>
      <c r="D2" s="2">
        <f>B2*C2</f>
        <v>24</v>
      </c>
      <c r="E2" s="2">
        <v>19</v>
      </c>
      <c r="F2" s="2">
        <f>D2-E2</f>
        <v>5</v>
      </c>
      <c r="G2" s="3">
        <f>E2/D2</f>
        <v>0.79166666666666663</v>
      </c>
      <c r="H2" s="12" t="str">
        <f>IF(G2&gt;=75%,"Safe","Low")</f>
        <v>Safe</v>
      </c>
    </row>
    <row r="3" spans="1:8" ht="15.75" thickBot="1" x14ac:dyDescent="0.3">
      <c r="A3" s="4" t="s">
        <v>4</v>
      </c>
      <c r="B3" s="2">
        <v>3</v>
      </c>
      <c r="C3" s="2">
        <v>4</v>
      </c>
      <c r="D3" s="2">
        <f t="shared" ref="D3:D9" si="0">B3*C3</f>
        <v>12</v>
      </c>
      <c r="E3" s="2">
        <v>3</v>
      </c>
      <c r="F3" s="2">
        <f t="shared" ref="F3:F9" si="1">D3-E3</f>
        <v>9</v>
      </c>
      <c r="G3" s="3">
        <f t="shared" ref="G3:G9" si="2">E3/D3</f>
        <v>0.25</v>
      </c>
      <c r="H3" s="12" t="str">
        <f t="shared" ref="H3:H9" si="3">IF(G3&gt;=75%,"Safe","Low")</f>
        <v>Low</v>
      </c>
    </row>
    <row r="4" spans="1:8" ht="15.75" thickBot="1" x14ac:dyDescent="0.3">
      <c r="A4" s="4" t="s">
        <v>5</v>
      </c>
      <c r="B4" s="2">
        <v>4</v>
      </c>
      <c r="C4" s="2">
        <v>4</v>
      </c>
      <c r="D4" s="2">
        <f t="shared" si="0"/>
        <v>16</v>
      </c>
      <c r="E4" s="2">
        <v>11</v>
      </c>
      <c r="F4" s="2">
        <f t="shared" si="1"/>
        <v>5</v>
      </c>
      <c r="G4" s="3">
        <f t="shared" si="2"/>
        <v>0.6875</v>
      </c>
      <c r="H4" s="12" t="str">
        <f t="shared" si="3"/>
        <v>Low</v>
      </c>
    </row>
    <row r="5" spans="1:8" ht="15.75" thickBot="1" x14ac:dyDescent="0.3">
      <c r="A5" s="4" t="s">
        <v>6</v>
      </c>
      <c r="B5" s="2">
        <v>3</v>
      </c>
      <c r="C5" s="2">
        <v>4</v>
      </c>
      <c r="D5" s="2">
        <f t="shared" si="0"/>
        <v>12</v>
      </c>
      <c r="E5" s="2">
        <v>8</v>
      </c>
      <c r="F5" s="2">
        <f t="shared" si="1"/>
        <v>4</v>
      </c>
      <c r="G5" s="3">
        <f t="shared" si="2"/>
        <v>0.66666666666666663</v>
      </c>
      <c r="H5" s="12" t="str">
        <f t="shared" si="3"/>
        <v>Low</v>
      </c>
    </row>
    <row r="6" spans="1:8" ht="15.75" thickBot="1" x14ac:dyDescent="0.3">
      <c r="A6" s="4" t="s">
        <v>8</v>
      </c>
      <c r="B6" s="2">
        <v>3</v>
      </c>
      <c r="C6" s="2">
        <v>4</v>
      </c>
      <c r="D6" s="2">
        <f t="shared" si="0"/>
        <v>12</v>
      </c>
      <c r="E6" s="2">
        <v>8</v>
      </c>
      <c r="F6" s="2">
        <f t="shared" si="1"/>
        <v>4</v>
      </c>
      <c r="G6" s="3">
        <f t="shared" si="2"/>
        <v>0.66666666666666663</v>
      </c>
      <c r="H6" s="12" t="str">
        <f t="shared" si="3"/>
        <v>Low</v>
      </c>
    </row>
    <row r="7" spans="1:8" ht="15.75" thickBot="1" x14ac:dyDescent="0.3">
      <c r="A7" s="4" t="s">
        <v>7</v>
      </c>
      <c r="B7" s="2">
        <v>2</v>
      </c>
      <c r="C7" s="2">
        <v>4</v>
      </c>
      <c r="D7" s="2">
        <f t="shared" si="0"/>
        <v>8</v>
      </c>
      <c r="E7" s="2">
        <v>0</v>
      </c>
      <c r="F7" s="2">
        <f t="shared" si="1"/>
        <v>8</v>
      </c>
      <c r="G7" s="3">
        <f t="shared" si="2"/>
        <v>0</v>
      </c>
      <c r="H7" s="12" t="str">
        <f t="shared" si="3"/>
        <v>Low</v>
      </c>
    </row>
    <row r="8" spans="1:8" ht="15.75" thickBot="1" x14ac:dyDescent="0.3">
      <c r="A8" s="4" t="s">
        <v>9</v>
      </c>
      <c r="B8" s="2">
        <v>3</v>
      </c>
      <c r="C8" s="2">
        <v>4</v>
      </c>
      <c r="D8" s="2">
        <f t="shared" si="0"/>
        <v>12</v>
      </c>
      <c r="E8" s="2">
        <v>2</v>
      </c>
      <c r="F8" s="2">
        <f t="shared" si="1"/>
        <v>10</v>
      </c>
      <c r="G8" s="3">
        <f t="shared" si="2"/>
        <v>0.16666666666666666</v>
      </c>
      <c r="H8" s="12" t="str">
        <f t="shared" si="3"/>
        <v>Low</v>
      </c>
    </row>
    <row r="9" spans="1:8" ht="15.75" thickBot="1" x14ac:dyDescent="0.3">
      <c r="A9" s="4" t="s">
        <v>10</v>
      </c>
      <c r="B9" s="2">
        <v>2</v>
      </c>
      <c r="C9" s="2">
        <v>4</v>
      </c>
      <c r="D9" s="2">
        <f t="shared" si="0"/>
        <v>8</v>
      </c>
      <c r="E9" s="2">
        <v>3</v>
      </c>
      <c r="F9" s="2">
        <f t="shared" si="1"/>
        <v>5</v>
      </c>
      <c r="G9" s="3">
        <f t="shared" si="2"/>
        <v>0.375</v>
      </c>
      <c r="H9" s="12" t="str">
        <f t="shared" si="3"/>
        <v>Low</v>
      </c>
    </row>
  </sheetData>
  <conditionalFormatting sqref="B2:F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{FED9A426-AE5A-4991-A27E-37A58442F9BD}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C477673-8EAA-4B83-ACC5-532F358C829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B2:F9</xm:sqref>
        </x14:conditionalFormatting>
        <x14:conditionalFormatting xmlns:xm="http://schemas.microsoft.com/office/excel/2006/main">
          <x14:cfRule type="dataBar" id="{FED9A426-AE5A-4991-A27E-37A58442F9B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A19" sqref="A19:J19"/>
    </sheetView>
  </sheetViews>
  <sheetFormatPr defaultRowHeight="15" x14ac:dyDescent="0.25"/>
  <cols>
    <col min="1" max="1" width="15.7109375" bestFit="1" customWidth="1"/>
    <col min="3" max="3" width="18.28515625" bestFit="1" customWidth="1"/>
    <col min="5" max="5" width="18.42578125" bestFit="1" customWidth="1"/>
    <col min="7" max="7" width="17.85546875" bestFit="1" customWidth="1"/>
  </cols>
  <sheetData>
    <row r="1" spans="1:9" ht="26.25" x14ac:dyDescent="0.4">
      <c r="I1" s="1" t="s">
        <v>16</v>
      </c>
    </row>
    <row r="3" spans="1:9" x14ac:dyDescent="0.25">
      <c r="A3" s="5" t="s">
        <v>22</v>
      </c>
      <c r="B3" s="5"/>
      <c r="C3" s="5" t="s">
        <v>18</v>
      </c>
      <c r="D3" s="5"/>
      <c r="E3" s="5" t="s">
        <v>17</v>
      </c>
      <c r="F3" s="5"/>
      <c r="G3" s="5" t="s">
        <v>19</v>
      </c>
    </row>
    <row r="4" spans="1:9" x14ac:dyDescent="0.25">
      <c r="A4" s="6">
        <f>SUM('Attendance data'!D2:D9)</f>
        <v>104</v>
      </c>
      <c r="B4" s="6"/>
      <c r="C4" s="6">
        <f>SUM('Attendance data'!E2:E9)</f>
        <v>54</v>
      </c>
      <c r="D4" s="6"/>
      <c r="E4" s="7">
        <f>C4/A4</f>
        <v>0.51923076923076927</v>
      </c>
      <c r="F4" s="6"/>
      <c r="G4" s="6">
        <f>COUNTIF('Attendance data'!H2:H9,"Low")</f>
        <v>7</v>
      </c>
    </row>
    <row r="7" spans="1:9" ht="18" thickBot="1" x14ac:dyDescent="0.35">
      <c r="A7" s="9" t="s">
        <v>0</v>
      </c>
      <c r="B7" s="9"/>
      <c r="C7" s="9" t="s">
        <v>1</v>
      </c>
    </row>
    <row r="8" spans="1:9" ht="18.75" thickTop="1" thickBot="1" x14ac:dyDescent="0.35">
      <c r="A8" s="9" t="s">
        <v>3</v>
      </c>
      <c r="B8" s="9"/>
      <c r="C8" s="10">
        <f>'Attendance data'!G2</f>
        <v>0.79166666666666663</v>
      </c>
    </row>
    <row r="9" spans="1:9" ht="18.75" thickTop="1" thickBot="1" x14ac:dyDescent="0.35">
      <c r="A9" s="9" t="s">
        <v>4</v>
      </c>
      <c r="B9" s="9"/>
      <c r="C9" s="10">
        <f>'Attendance data'!G3</f>
        <v>0.25</v>
      </c>
    </row>
    <row r="10" spans="1:9" ht="18.75" thickTop="1" thickBot="1" x14ac:dyDescent="0.35">
      <c r="A10" s="9" t="s">
        <v>5</v>
      </c>
      <c r="B10" s="9"/>
      <c r="C10" s="10">
        <f>'Attendance data'!G4</f>
        <v>0.6875</v>
      </c>
    </row>
    <row r="11" spans="1:9" ht="18.75" thickTop="1" thickBot="1" x14ac:dyDescent="0.35">
      <c r="A11" s="9" t="s">
        <v>6</v>
      </c>
      <c r="B11" s="9"/>
      <c r="C11" s="10">
        <f>'Attendance data'!G5</f>
        <v>0.66666666666666663</v>
      </c>
    </row>
    <row r="12" spans="1:9" ht="18.75" thickTop="1" thickBot="1" x14ac:dyDescent="0.35">
      <c r="A12" s="9" t="s">
        <v>8</v>
      </c>
      <c r="B12" s="9"/>
      <c r="C12" s="10">
        <f>'Attendance data'!G6</f>
        <v>0.66666666666666663</v>
      </c>
    </row>
    <row r="13" spans="1:9" ht="18.75" thickTop="1" thickBot="1" x14ac:dyDescent="0.35">
      <c r="A13" s="9" t="s">
        <v>7</v>
      </c>
      <c r="B13" s="9"/>
      <c r="C13" s="10">
        <f>'Attendance data'!G7</f>
        <v>0</v>
      </c>
    </row>
    <row r="14" spans="1:9" ht="18.75" thickTop="1" thickBot="1" x14ac:dyDescent="0.35">
      <c r="A14" s="9" t="s">
        <v>9</v>
      </c>
      <c r="B14" s="9"/>
      <c r="C14" s="10">
        <f>'Attendance data'!G8</f>
        <v>0.16666666666666666</v>
      </c>
    </row>
    <row r="15" spans="1:9" ht="18.75" thickTop="1" thickBot="1" x14ac:dyDescent="0.35">
      <c r="A15" s="9" t="s">
        <v>10</v>
      </c>
      <c r="B15" s="9"/>
      <c r="C15" s="10">
        <f>'Attendance data'!G9</f>
        <v>0.375</v>
      </c>
    </row>
    <row r="16" spans="1:9" ht="15.75" thickTop="1" x14ac:dyDescent="0.25"/>
    <row r="18" spans="1:10" ht="15.75" thickBot="1" x14ac:dyDescent="0.3">
      <c r="A18" s="4" t="s">
        <v>20</v>
      </c>
    </row>
    <row r="19" spans="1:10" ht="15.75" thickBot="1" x14ac:dyDescent="0.3">
      <c r="A19" s="11" t="s">
        <v>21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5.75" thickTop="1" x14ac:dyDescent="0.25"/>
  </sheetData>
  <conditionalFormatting sqref="A3:G4">
    <cfRule type="colorScale" priority="2">
      <colorScale>
        <cfvo type="min"/>
        <cfvo type="max"/>
        <color rgb="FFFFEF9C"/>
        <color rgb="FF63BE7B"/>
      </colorScale>
    </cfRule>
  </conditionalFormatting>
  <conditionalFormatting sqref="A7:C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sharma</dc:creator>
  <cp:lastModifiedBy>kanika sharma</cp:lastModifiedBy>
  <dcterms:created xsi:type="dcterms:W3CDTF">2026-09-22T01:47:11Z</dcterms:created>
  <dcterms:modified xsi:type="dcterms:W3CDTF">2026-09-22T08:41:23Z</dcterms:modified>
</cp:coreProperties>
</file>